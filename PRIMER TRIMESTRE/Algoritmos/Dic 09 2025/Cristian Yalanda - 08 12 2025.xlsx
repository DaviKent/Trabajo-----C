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crist\OneDrive\Documentos\GitHubC\Algoritmos\Dic 09 2025\"/>
    </mc:Choice>
  </mc:AlternateContent>
  <xr:revisionPtr revIDLastSave="0" documentId="13_ncr:1_{D7D01D9C-25C7-4D9C-B139-FF4FBD8136F7}" xr6:coauthVersionLast="47" xr6:coauthVersionMax="47" xr10:uidLastSave="{00000000-0000-0000-0000-000000000000}"/>
  <bookViews>
    <workbookView minimized="1" xWindow="1770" yWindow="1770" windowWidth="21600" windowHeight="11295" firstSheet="1" activeTab="4" xr2:uid="{00000000-000D-0000-FFFF-FFFF00000000}"/>
  </bookViews>
  <sheets>
    <sheet name="CONVERSIONES DE MASA" sheetId="1" r:id="rId1"/>
    <sheet name="CONVERSIONES DE LONGITUD" sheetId="2" r:id="rId2"/>
    <sheet name="CONVERSIONES DE TEMPERATURA" sheetId="3" r:id="rId3"/>
    <sheet name="CONVERSIONES DE BYTES" sheetId="4" r:id="rId4"/>
    <sheet name="CONVERSIONES DE TIEMP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5" l="1"/>
  <c r="F7" i="5" s="1"/>
  <c r="E8" i="5"/>
  <c r="F8" i="5" s="1"/>
  <c r="E9" i="5"/>
  <c r="F9" i="5" s="1"/>
  <c r="E10" i="5"/>
  <c r="F10" i="5" s="1"/>
  <c r="E11" i="5"/>
  <c r="F11" i="5" s="1"/>
  <c r="D7" i="5"/>
  <c r="D8" i="5"/>
  <c r="D9" i="5"/>
  <c r="D10" i="5"/>
  <c r="D11" i="5"/>
  <c r="D7" i="4"/>
  <c r="E7" i="4" s="1"/>
  <c r="F7" i="4" s="1"/>
  <c r="D8" i="4"/>
  <c r="E8" i="4" s="1"/>
  <c r="F8" i="4" s="1"/>
  <c r="D9" i="4"/>
  <c r="E9" i="4" s="1"/>
  <c r="F9" i="4" s="1"/>
  <c r="D10" i="4"/>
  <c r="E10" i="4" s="1"/>
  <c r="F10" i="4" s="1"/>
  <c r="D11" i="4"/>
  <c r="E11" i="4" s="1"/>
  <c r="F11" i="4" s="1"/>
  <c r="E7" i="3"/>
  <c r="E8" i="3"/>
  <c r="E9" i="3"/>
  <c r="E10" i="3"/>
  <c r="E11" i="3"/>
  <c r="F10" i="3"/>
  <c r="D7" i="3"/>
  <c r="F7" i="3" s="1"/>
  <c r="D8" i="3"/>
  <c r="F8" i="3" s="1"/>
  <c r="D9" i="3"/>
  <c r="F9" i="3" s="1"/>
  <c r="D10" i="3"/>
  <c r="D11" i="3"/>
  <c r="F11" i="3" s="1"/>
  <c r="E7" i="2"/>
  <c r="E8" i="2"/>
  <c r="E9" i="2"/>
  <c r="E10" i="2"/>
  <c r="E11" i="2"/>
  <c r="D7" i="2"/>
  <c r="F7" i="2" s="1"/>
  <c r="D8" i="2"/>
  <c r="F8" i="2" s="1"/>
  <c r="D9" i="2"/>
  <c r="F9" i="2" s="1"/>
  <c r="D10" i="2"/>
  <c r="F10" i="2" s="1"/>
  <c r="D11" i="2"/>
  <c r="F11" i="2" s="1"/>
  <c r="E7" i="1"/>
  <c r="E8" i="1"/>
  <c r="E9" i="1"/>
  <c r="E10" i="1"/>
  <c r="E11" i="1"/>
  <c r="D7" i="1"/>
  <c r="F7" i="1" s="1"/>
  <c r="D8" i="1"/>
  <c r="F8" i="1" s="1"/>
  <c r="D9" i="1"/>
  <c r="F9" i="1" s="1"/>
  <c r="D10" i="1"/>
  <c r="F10" i="1" s="1"/>
  <c r="D11" i="1"/>
  <c r="F11" i="1" s="1"/>
  <c r="E6" i="5"/>
  <c r="F6" i="5" s="1"/>
  <c r="D6" i="5"/>
  <c r="D6" i="4"/>
  <c r="E6" i="4" s="1"/>
  <c r="F6" i="4" s="1"/>
  <c r="E6" i="3"/>
  <c r="D6" i="3"/>
  <c r="F6" i="3" s="1"/>
  <c r="E6" i="2"/>
  <c r="D6" i="2"/>
  <c r="F6" i="2" s="1"/>
  <c r="E6" i="1"/>
  <c r="D6" i="1"/>
  <c r="F6" i="1" s="1"/>
</calcChain>
</file>

<file path=xl/sharedStrings.xml><?xml version="1.0" encoding="utf-8"?>
<sst xmlns="http://schemas.openxmlformats.org/spreadsheetml/2006/main" count="25" uniqueCount="25">
  <si>
    <t>Gramos</t>
  </si>
  <si>
    <t>Gramos a kilogramos</t>
  </si>
  <si>
    <t>Gramos a Libras</t>
  </si>
  <si>
    <t>Kilogramos a Libras</t>
  </si>
  <si>
    <t>Metros</t>
  </si>
  <si>
    <t>Metros a Kilometros</t>
  </si>
  <si>
    <t>Metros a Centimetros</t>
  </si>
  <si>
    <t>Kilometros a Metros</t>
  </si>
  <si>
    <t>Celsius</t>
  </si>
  <si>
    <t xml:space="preserve">Celsius a Fahrenheit </t>
  </si>
  <si>
    <t>Celsius a Kelvin</t>
  </si>
  <si>
    <t>Fahrenheit a Celsius</t>
  </si>
  <si>
    <t>Bytes</t>
  </si>
  <si>
    <t>Bytes a Megabytes</t>
  </si>
  <si>
    <t>Megabytes a Gigabytes</t>
  </si>
  <si>
    <t>Gigabytes a Megabytes</t>
  </si>
  <si>
    <t>Segundos</t>
  </si>
  <si>
    <t>Segundos a Minutos</t>
  </si>
  <si>
    <t>Segundos a Horas</t>
  </si>
  <si>
    <t>Horas a Minutos</t>
  </si>
  <si>
    <t>CONVERSION DE MEDIDAS DE MASA</t>
  </si>
  <si>
    <t>CONVERSION DE MEDIDAS DE LONGITUD</t>
  </si>
  <si>
    <t>CONVERSION DE MEDIDAS DE TEMPERATURA</t>
  </si>
  <si>
    <t>CONVERSION DE MEDIDAS DE BYTES</t>
  </si>
  <si>
    <t>CONVERSION DE MEDIDAS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</si>
</sst>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2" sqref="C12"/>
    </sheetView>
  </sheetViews>
  <sheetFormatPr baseColWidth="10" defaultColWidth="9" defaultRowHeight="14.25"/>
  <cols>
    <col min="1" max="1" width="13.625" customWidth="1"/>
    <col min="2" max="2" width="13.75" customWidth="1"/>
    <col min="3" max="3" width="14.375" customWidth="1"/>
    <col min="4" max="4" width="16.125" customWidth="1"/>
    <col min="5" max="5" width="14.5" bestFit="1" customWidth="1"/>
    <col min="6" max="6" width="18.625" customWidth="1"/>
  </cols>
  <sheetData>
    <row r="1" spans="1:6" ht="24.75" customHeight="1">
      <c r="A1" s="2"/>
    </row>
    <row r="4" spans="1:6" ht="15">
      <c r="C4" s="8" t="s">
        <v>20</v>
      </c>
      <c r="D4" s="8"/>
      <c r="E4" s="8"/>
      <c r="F4" s="8"/>
    </row>
    <row r="5" spans="1:6" ht="28.5">
      <c r="C5" s="3" t="s">
        <v>0</v>
      </c>
      <c r="D5" s="4" t="s">
        <v>1</v>
      </c>
      <c r="E5" s="3" t="s">
        <v>2</v>
      </c>
      <c r="F5" s="5" t="s">
        <v>3</v>
      </c>
    </row>
    <row r="6" spans="1:6">
      <c r="C6" s="6">
        <v>2150</v>
      </c>
      <c r="D6" s="6">
        <f>C6/1000</f>
        <v>2.15</v>
      </c>
      <c r="E6" s="6">
        <f>C6*0.00220462</f>
        <v>4.7399329999999997</v>
      </c>
      <c r="F6" s="6">
        <f>D6*2.20462</f>
        <v>4.7399329999999997</v>
      </c>
    </row>
    <row r="7" spans="1:6">
      <c r="C7" s="6">
        <v>50</v>
      </c>
      <c r="D7" s="6">
        <f t="shared" ref="D7:D11" si="0">C7/1000</f>
        <v>0.05</v>
      </c>
      <c r="E7" s="6">
        <f t="shared" ref="E7:E11" si="1">C7*0.00220462</f>
        <v>0.110231</v>
      </c>
      <c r="F7" s="6">
        <f t="shared" ref="F7:F11" si="2">D7*2.20462</f>
        <v>0.110231</v>
      </c>
    </row>
    <row r="8" spans="1:6">
      <c r="C8" s="6">
        <v>20</v>
      </c>
      <c r="D8" s="6">
        <f t="shared" si="0"/>
        <v>0.02</v>
      </c>
      <c r="E8" s="6">
        <f t="shared" si="1"/>
        <v>4.4092400000000004E-2</v>
      </c>
      <c r="F8" s="6">
        <f t="shared" si="2"/>
        <v>4.4092399999999997E-2</v>
      </c>
    </row>
    <row r="9" spans="1:6">
      <c r="B9" s="1"/>
      <c r="C9" s="6">
        <v>25</v>
      </c>
      <c r="D9" s="6">
        <f t="shared" si="0"/>
        <v>2.5000000000000001E-2</v>
      </c>
      <c r="E9" s="6">
        <f t="shared" si="1"/>
        <v>5.5115499999999998E-2</v>
      </c>
      <c r="F9" s="6">
        <f t="shared" si="2"/>
        <v>5.5115499999999998E-2</v>
      </c>
    </row>
    <row r="10" spans="1:6">
      <c r="B10" s="1"/>
      <c r="C10" s="6">
        <v>15</v>
      </c>
      <c r="D10" s="6">
        <f t="shared" si="0"/>
        <v>1.4999999999999999E-2</v>
      </c>
      <c r="E10" s="6">
        <f t="shared" si="1"/>
        <v>3.3069300000000003E-2</v>
      </c>
      <c r="F10" s="6">
        <f t="shared" si="2"/>
        <v>3.3069299999999996E-2</v>
      </c>
    </row>
    <row r="11" spans="1:6">
      <c r="C11" s="6">
        <v>80</v>
      </c>
      <c r="D11" s="6">
        <f t="shared" si="0"/>
        <v>0.08</v>
      </c>
      <c r="E11" s="6">
        <f t="shared" si="1"/>
        <v>0.17636960000000002</v>
      </c>
      <c r="F11" s="6">
        <f t="shared" si="2"/>
        <v>0.17636959999999999</v>
      </c>
    </row>
  </sheetData>
  <mergeCells count="1">
    <mergeCell ref="C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00A2-324A-4CEB-A170-B4C74E13FE31}">
  <dimension ref="C1:F11"/>
  <sheetViews>
    <sheetView workbookViewId="0">
      <selection activeCell="C12" sqref="C12"/>
    </sheetView>
  </sheetViews>
  <sheetFormatPr baseColWidth="10" defaultColWidth="9" defaultRowHeight="14.25"/>
  <cols>
    <col min="2" max="2" width="12.875" customWidth="1"/>
    <col min="3" max="3" width="13.25" customWidth="1"/>
    <col min="4" max="4" width="17.125" customWidth="1"/>
    <col min="5" max="5" width="17.25" customWidth="1"/>
    <col min="6" max="6" width="14.25" customWidth="1"/>
  </cols>
  <sheetData>
    <row r="1" spans="3:6" ht="27" customHeight="1"/>
    <row r="4" spans="3:6" ht="15">
      <c r="C4" s="8" t="s">
        <v>21</v>
      </c>
      <c r="D4" s="8"/>
      <c r="E4" s="8"/>
      <c r="F4" s="8"/>
    </row>
    <row r="5" spans="3:6" ht="28.5">
      <c r="C5" s="3" t="s">
        <v>4</v>
      </c>
      <c r="D5" s="4" t="s">
        <v>5</v>
      </c>
      <c r="E5" s="4" t="s">
        <v>6</v>
      </c>
      <c r="F5" s="4" t="s">
        <v>7</v>
      </c>
    </row>
    <row r="6" spans="3:6">
      <c r="C6" s="6">
        <v>20</v>
      </c>
      <c r="D6" s="6">
        <f>C6/1000</f>
        <v>0.02</v>
      </c>
      <c r="E6" s="6">
        <f>C6*100</f>
        <v>2000</v>
      </c>
      <c r="F6" s="6">
        <f>D6*1000</f>
        <v>20</v>
      </c>
    </row>
    <row r="7" spans="3:6">
      <c r="C7" s="6">
        <v>100</v>
      </c>
      <c r="D7" s="6">
        <f t="shared" ref="D7:D11" si="0">C7/1000</f>
        <v>0.1</v>
      </c>
      <c r="E7" s="6">
        <f t="shared" ref="E7:E11" si="1">C7*100</f>
        <v>10000</v>
      </c>
      <c r="F7" s="6">
        <f t="shared" ref="F7:F11" si="2">D7*1000</f>
        <v>100</v>
      </c>
    </row>
    <row r="8" spans="3:6">
      <c r="C8" s="6">
        <v>1000</v>
      </c>
      <c r="D8" s="6">
        <f t="shared" si="0"/>
        <v>1</v>
      </c>
      <c r="E8" s="6">
        <f t="shared" si="1"/>
        <v>100000</v>
      </c>
      <c r="F8" s="6">
        <f t="shared" si="2"/>
        <v>1000</v>
      </c>
    </row>
    <row r="9" spans="3:6">
      <c r="C9" s="6">
        <v>100000</v>
      </c>
      <c r="D9" s="6">
        <f t="shared" si="0"/>
        <v>100</v>
      </c>
      <c r="E9" s="6">
        <f t="shared" si="1"/>
        <v>10000000</v>
      </c>
      <c r="F9" s="6">
        <f t="shared" si="2"/>
        <v>100000</v>
      </c>
    </row>
    <row r="10" spans="3:6">
      <c r="C10" s="6">
        <v>3025</v>
      </c>
      <c r="D10" s="6">
        <f t="shared" si="0"/>
        <v>3.0249999999999999</v>
      </c>
      <c r="E10" s="6">
        <f t="shared" si="1"/>
        <v>302500</v>
      </c>
      <c r="F10" s="6">
        <f t="shared" si="2"/>
        <v>3025</v>
      </c>
    </row>
    <row r="11" spans="3:6">
      <c r="C11" s="6">
        <v>1355</v>
      </c>
      <c r="D11" s="6">
        <f t="shared" si="0"/>
        <v>1.355</v>
      </c>
      <c r="E11" s="6">
        <f t="shared" si="1"/>
        <v>135500</v>
      </c>
      <c r="F11" s="6">
        <f t="shared" si="2"/>
        <v>1355</v>
      </c>
    </row>
  </sheetData>
  <mergeCells count="1">
    <mergeCell ref="C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6D9A-AAD7-4EDD-8442-BCA5661E7C85}">
  <dimension ref="C1:F11"/>
  <sheetViews>
    <sheetView workbookViewId="0">
      <selection activeCell="C12" sqref="C12"/>
    </sheetView>
  </sheetViews>
  <sheetFormatPr baseColWidth="10" defaultColWidth="9" defaultRowHeight="14.25"/>
  <cols>
    <col min="2" max="2" width="13.625" customWidth="1"/>
    <col min="3" max="3" width="13.75" customWidth="1"/>
    <col min="4" max="4" width="15.375" customWidth="1"/>
    <col min="5" max="5" width="16.375" customWidth="1"/>
    <col min="6" max="6" width="18.375" customWidth="1"/>
  </cols>
  <sheetData>
    <row r="1" spans="3:6" ht="34.5" customHeight="1"/>
    <row r="4" spans="3:6" ht="15">
      <c r="C4" s="8" t="s">
        <v>22</v>
      </c>
      <c r="D4" s="8"/>
      <c r="E4" s="8"/>
      <c r="F4" s="8"/>
    </row>
    <row r="5" spans="3:6" ht="28.5">
      <c r="C5" s="3" t="s">
        <v>8</v>
      </c>
      <c r="D5" s="4" t="s">
        <v>9</v>
      </c>
      <c r="E5" s="4" t="s">
        <v>10</v>
      </c>
      <c r="F5" s="4" t="s">
        <v>11</v>
      </c>
    </row>
    <row r="6" spans="3:6">
      <c r="C6" s="6">
        <v>652</v>
      </c>
      <c r="D6" s="6">
        <f>(C6*9/5)+32</f>
        <v>1205.5999999999999</v>
      </c>
      <c r="E6" s="6">
        <f>C6+273.15</f>
        <v>925.15</v>
      </c>
      <c r="F6" s="6">
        <f>(D6-32)*5/9</f>
        <v>652</v>
      </c>
    </row>
    <row r="7" spans="3:6">
      <c r="C7" s="6">
        <v>326</v>
      </c>
      <c r="D7" s="6">
        <f t="shared" ref="D7:D11" si="0">(C7*9/5)+32</f>
        <v>618.79999999999995</v>
      </c>
      <c r="E7" s="6">
        <f t="shared" ref="E7:E11" si="1">C7+273.15</f>
        <v>599.15</v>
      </c>
      <c r="F7" s="6">
        <f t="shared" ref="F7:F11" si="2">(D7-32)*5/9</f>
        <v>326</v>
      </c>
    </row>
    <row r="8" spans="3:6">
      <c r="C8" s="6">
        <v>489</v>
      </c>
      <c r="D8" s="6">
        <f t="shared" si="0"/>
        <v>912.2</v>
      </c>
      <c r="E8" s="6">
        <f t="shared" si="1"/>
        <v>762.15</v>
      </c>
      <c r="F8" s="6">
        <f t="shared" si="2"/>
        <v>489</v>
      </c>
    </row>
    <row r="9" spans="3:6">
      <c r="C9" s="6">
        <v>156</v>
      </c>
      <c r="D9" s="6">
        <f t="shared" si="0"/>
        <v>312.8</v>
      </c>
      <c r="E9" s="6">
        <f t="shared" si="1"/>
        <v>429.15</v>
      </c>
      <c r="F9" s="6">
        <f t="shared" si="2"/>
        <v>156</v>
      </c>
    </row>
    <row r="10" spans="3:6">
      <c r="C10" s="6">
        <v>257</v>
      </c>
      <c r="D10" s="6">
        <f t="shared" si="0"/>
        <v>494.6</v>
      </c>
      <c r="E10" s="6">
        <f t="shared" si="1"/>
        <v>530.15</v>
      </c>
      <c r="F10" s="6">
        <f t="shared" si="2"/>
        <v>257</v>
      </c>
    </row>
    <row r="11" spans="3:6">
      <c r="C11" s="6">
        <v>349</v>
      </c>
      <c r="D11" s="6">
        <f t="shared" si="0"/>
        <v>660.2</v>
      </c>
      <c r="E11" s="6">
        <f t="shared" si="1"/>
        <v>622.15</v>
      </c>
      <c r="F11" s="6">
        <f t="shared" si="2"/>
        <v>349</v>
      </c>
    </row>
  </sheetData>
  <mergeCells count="1"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5B6F-0365-4448-B0BE-6FC9A4A8B3FF}">
  <dimension ref="C4:F11"/>
  <sheetViews>
    <sheetView workbookViewId="0">
      <selection activeCell="C12" sqref="C12"/>
    </sheetView>
  </sheetViews>
  <sheetFormatPr baseColWidth="10" defaultColWidth="9" defaultRowHeight="14.25"/>
  <cols>
    <col min="2" max="2" width="17.75" customWidth="1"/>
    <col min="3" max="3" width="18.625" customWidth="1"/>
    <col min="4" max="4" width="16.625" customWidth="1"/>
    <col min="5" max="5" width="14.875" customWidth="1"/>
    <col min="6" max="6" width="18.125" customWidth="1"/>
  </cols>
  <sheetData>
    <row r="4" spans="3:6" ht="15">
      <c r="C4" s="8" t="s">
        <v>23</v>
      </c>
      <c r="D4" s="8"/>
      <c r="E4" s="8"/>
      <c r="F4" s="8"/>
    </row>
    <row r="5" spans="3:6" ht="28.5">
      <c r="C5" s="3" t="s">
        <v>12</v>
      </c>
      <c r="D5" s="4" t="s">
        <v>13</v>
      </c>
      <c r="E5" s="4" t="s">
        <v>14</v>
      </c>
      <c r="F5" s="4" t="s">
        <v>15</v>
      </c>
    </row>
    <row r="6" spans="3:6">
      <c r="C6" s="6">
        <v>987</v>
      </c>
      <c r="D6" s="6">
        <f>C6/(1024*1024)</f>
        <v>9.4127655029296875E-4</v>
      </c>
      <c r="E6" s="6">
        <f>D6/1024</f>
        <v>9.1921538114547729E-7</v>
      </c>
      <c r="F6" s="6">
        <f>E6*1024</f>
        <v>9.4127655029296875E-4</v>
      </c>
    </row>
    <row r="7" spans="3:6">
      <c r="C7" s="6">
        <v>456</v>
      </c>
      <c r="D7" s="6">
        <f t="shared" ref="D7:D11" si="0">C7/(1024*1024)</f>
        <v>4.3487548828125E-4</v>
      </c>
      <c r="E7" s="6">
        <f t="shared" ref="E7:E11" si="1">D7/1024</f>
        <v>4.246830940246582E-7</v>
      </c>
      <c r="F7" s="6">
        <f t="shared" ref="F7:F11" si="2">E7*1024</f>
        <v>4.3487548828125E-4</v>
      </c>
    </row>
    <row r="8" spans="3:6">
      <c r="C8" s="6">
        <v>357</v>
      </c>
      <c r="D8" s="6">
        <f t="shared" si="0"/>
        <v>3.4046173095703125E-4</v>
      </c>
      <c r="E8" s="6">
        <f t="shared" si="1"/>
        <v>3.3248215913772583E-7</v>
      </c>
      <c r="F8" s="6">
        <f t="shared" si="2"/>
        <v>3.4046173095703125E-4</v>
      </c>
    </row>
    <row r="9" spans="3:6">
      <c r="C9" s="6">
        <v>159</v>
      </c>
      <c r="D9" s="6">
        <f t="shared" si="0"/>
        <v>1.5163421630859375E-4</v>
      </c>
      <c r="E9" s="6">
        <f t="shared" si="1"/>
        <v>1.4808028936386108E-7</v>
      </c>
      <c r="F9" s="6">
        <f t="shared" si="2"/>
        <v>1.5163421630859375E-4</v>
      </c>
    </row>
    <row r="10" spans="3:6">
      <c r="C10" s="6">
        <v>651</v>
      </c>
      <c r="D10" s="6">
        <f t="shared" si="0"/>
        <v>6.2084197998046875E-4</v>
      </c>
      <c r="E10" s="6">
        <f t="shared" si="1"/>
        <v>6.0629099607467651E-7</v>
      </c>
      <c r="F10" s="6">
        <f t="shared" si="2"/>
        <v>6.2084197998046875E-4</v>
      </c>
    </row>
    <row r="11" spans="3:6">
      <c r="C11" s="6">
        <v>230</v>
      </c>
      <c r="D11" s="6">
        <f t="shared" si="0"/>
        <v>2.193450927734375E-4</v>
      </c>
      <c r="E11" s="6">
        <f t="shared" si="1"/>
        <v>2.1420419216156006E-7</v>
      </c>
      <c r="F11" s="6">
        <f t="shared" si="2"/>
        <v>2.193450927734375E-4</v>
      </c>
    </row>
  </sheetData>
  <mergeCells count="1">
    <mergeCell ref="C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440E-98D3-4FBF-8718-BF32BBA96F10}">
  <dimension ref="C1:F11"/>
  <sheetViews>
    <sheetView tabSelected="1" workbookViewId="0">
      <selection activeCell="C12" sqref="C12"/>
    </sheetView>
  </sheetViews>
  <sheetFormatPr baseColWidth="10" defaultColWidth="9" defaultRowHeight="14.25"/>
  <cols>
    <col min="2" max="2" width="13.875" customWidth="1"/>
    <col min="3" max="3" width="13.625" customWidth="1"/>
    <col min="4" max="4" width="13.875" customWidth="1"/>
    <col min="5" max="5" width="14.625" customWidth="1"/>
    <col min="6" max="6" width="17.25" customWidth="1"/>
  </cols>
  <sheetData>
    <row r="1" spans="3:6" ht="25.5" customHeight="1"/>
    <row r="4" spans="3:6" ht="15">
      <c r="C4" s="8" t="s">
        <v>24</v>
      </c>
      <c r="D4" s="8"/>
      <c r="E4" s="8"/>
      <c r="F4" s="8"/>
    </row>
    <row r="5" spans="3:6" ht="28.5">
      <c r="C5" s="3" t="s">
        <v>16</v>
      </c>
      <c r="D5" s="4" t="s">
        <v>17</v>
      </c>
      <c r="E5" s="4" t="s">
        <v>18</v>
      </c>
      <c r="F5" s="4" t="s">
        <v>19</v>
      </c>
    </row>
    <row r="6" spans="3:6">
      <c r="C6" s="6">
        <v>987</v>
      </c>
      <c r="D6" s="7">
        <f>C6/60</f>
        <v>16.45</v>
      </c>
      <c r="E6" s="6">
        <f>C6/3600</f>
        <v>0.27416666666666667</v>
      </c>
      <c r="F6" s="6">
        <f>E6*60</f>
        <v>16.45</v>
      </c>
    </row>
    <row r="7" spans="3:6">
      <c r="C7" s="6">
        <v>562</v>
      </c>
      <c r="D7" s="7">
        <f t="shared" ref="D7:D11" si="0">C7/60</f>
        <v>9.3666666666666671</v>
      </c>
      <c r="E7" s="6">
        <f t="shared" ref="E7:E11" si="1">C7/3600</f>
        <v>0.15611111111111112</v>
      </c>
      <c r="F7" s="6">
        <f t="shared" ref="F7:F11" si="2">E7*60</f>
        <v>9.3666666666666671</v>
      </c>
    </row>
    <row r="8" spans="3:6">
      <c r="C8" s="6">
        <v>541</v>
      </c>
      <c r="D8" s="7">
        <f t="shared" si="0"/>
        <v>9.0166666666666675</v>
      </c>
      <c r="E8" s="6">
        <f t="shared" si="1"/>
        <v>0.15027777777777779</v>
      </c>
      <c r="F8" s="6">
        <f t="shared" si="2"/>
        <v>9.0166666666666675</v>
      </c>
    </row>
    <row r="9" spans="3:6">
      <c r="C9" s="6">
        <v>258</v>
      </c>
      <c r="D9" s="7">
        <f t="shared" si="0"/>
        <v>4.3</v>
      </c>
      <c r="E9" s="6">
        <f t="shared" si="1"/>
        <v>7.166666666666667E-2</v>
      </c>
      <c r="F9" s="6">
        <f t="shared" si="2"/>
        <v>4.3</v>
      </c>
    </row>
    <row r="10" spans="3:6">
      <c r="C10" s="6">
        <v>159</v>
      </c>
      <c r="D10" s="7">
        <f t="shared" si="0"/>
        <v>2.65</v>
      </c>
      <c r="E10" s="6">
        <f t="shared" si="1"/>
        <v>4.4166666666666667E-2</v>
      </c>
      <c r="F10" s="6">
        <f t="shared" si="2"/>
        <v>2.65</v>
      </c>
    </row>
    <row r="11" spans="3:6">
      <c r="C11" s="6">
        <v>357</v>
      </c>
      <c r="D11" s="7">
        <f t="shared" si="0"/>
        <v>5.95</v>
      </c>
      <c r="E11" s="6">
        <f t="shared" si="1"/>
        <v>9.9166666666666667E-2</v>
      </c>
      <c r="F11" s="6">
        <f t="shared" si="2"/>
        <v>5.95</v>
      </c>
    </row>
  </sheetData>
  <mergeCells count="1"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CONVERSIONES DE MASA</vt:lpstr>
      <vt:lpstr>CONVERSIONES DE LONGITUD</vt:lpstr>
      <vt:lpstr>CONVERSIONES DE TEMPERATURA</vt:lpstr>
      <vt:lpstr>CONVERSIONES DE BYTES</vt:lpstr>
      <vt:lpstr>CONVERSIONES DE TIEMPO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Yalanda</dc:creator>
  <cp:keywords/>
  <dc:description/>
  <cp:lastModifiedBy>David Yalanda</cp:lastModifiedBy>
  <cp:revision/>
  <cp:lastPrinted>2025-12-08T21:41:57Z</cp:lastPrinted>
  <dcterms:created xsi:type="dcterms:W3CDTF">2025-12-08T14:15:49Z</dcterms:created>
  <dcterms:modified xsi:type="dcterms:W3CDTF">2025-12-08T22:41:45Z</dcterms:modified>
  <cp:category/>
  <cp:contentStatus/>
</cp:coreProperties>
</file>